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12" windowHeight="8964" tabRatio="500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<sst xmlns="http://schemas.openxmlformats.org/spreadsheetml/2006/main" count="46" uniqueCount="41">
  <si>
    <t>Employee ID</t>
  </si>
  <si>
    <t>Name</t>
  </si>
  <si>
    <t>Department</t>
  </si>
  <si>
    <t>Salary</t>
  </si>
  <si>
    <t>Start Date</t>
  </si>
  <si>
    <t>Product ID</t>
  </si>
  <si>
    <t>Product Name</t>
  </si>
  <si>
    <t>Category</t>
  </si>
  <si>
    <t>Price</t>
  </si>
  <si>
    <t>Alice Johnson</t>
  </si>
  <si>
    <t>Sales</t>
  </si>
  <si>
    <t>2020-01-15</t>
  </si>
  <si>
    <t>Laptop</t>
  </si>
  <si>
    <t>Electronics</t>
  </si>
  <si>
    <t>Bob Smith</t>
  </si>
  <si>
    <t>Marketing</t>
  </si>
  <si>
    <t>2019-06-20</t>
  </si>
  <si>
    <t>Mouse</t>
  </si>
  <si>
    <t>Carol White</t>
  </si>
  <si>
    <t>IT</t>
  </si>
  <si>
    <t>2018-03-10</t>
  </si>
  <si>
    <t>Desk Chair</t>
  </si>
  <si>
    <t>Furniture</t>
  </si>
  <si>
    <t>David Brown</t>
  </si>
  <si>
    <t>2021-07-05</t>
  </si>
  <si>
    <t>Monitor</t>
  </si>
  <si>
    <t>Emma Davis</t>
  </si>
  <si>
    <t>HR</t>
  </si>
  <si>
    <t>2020-11-12</t>
  </si>
  <si>
    <t>Order ID</t>
  </si>
  <si>
    <t>Quantity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</si>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</sst>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1"/>
      <color theme="1"/>
      <name val="Calibri"/>
      <charset val="1"/>
    </font>
    <font>
      <b/>
      <sz val="11"/>
      <color rgb="FFFFFFFF"/>
      <name val="Cambria"/>
      <charset val="1"/>
    </font>
    <font>
      <b/>
      <sz val="11"/>
      <color rgb="FF000000"/>
      <name val="Cambria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2" fillId="4" borderId="0" xfId="0" applyFont="1" applyFill="1" applyAlignment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4B084"/>
      <rgbColor rgb="004472C4"/>
      <rgbColor rgb="0033CCCC"/>
      <rgbColor rgb="0099CC00"/>
      <rgbColor rgb="00FFC000"/>
      <rgbColor rgb="00FF9900"/>
      <rgbColor rgb="00FF6600"/>
      <rgbColor rgb="0066669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tabSelected="1" workbookViewId="0">
      <selection activeCell="H7" sqref="H7"/>
    </sheetView>
  </sheetViews>
  <sheetFormatPr defaultColWidth="8.67592592592593" defaultRowHeight="14.4"/>
  <cols>
    <col min="1" max="1" width="15" style="1" customWidth="1"/>
    <col min="2" max="2" width="18" style="1" customWidth="1"/>
    <col min="3" max="3" width="15" style="1" customWidth="1"/>
    <col min="4" max="4" width="12" style="1" customWidth="1"/>
    <col min="5" max="5" width="15" style="1" customWidth="1"/>
    <col min="7" max="7" width="15" style="1" customWidth="1"/>
    <col min="8" max="8" width="18" style="1" customWidth="1"/>
    <col min="9" max="9" width="15" style="1" customWidth="1"/>
    <col min="10" max="10" width="12" style="1" customWidth="1"/>
    <col min="11" max="11" width="10.2222222222222" customWidth="1"/>
    <col min="12" max="12" width="8.77777777777778"/>
    <col min="15" max="15" width="11.2222222222222" customWidth="1"/>
  </cols>
  <sheetData>
    <row r="1" ht="1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ht="15" customHeight="1" spans="1:16">
      <c r="A2" s="1">
        <v>101</v>
      </c>
      <c r="B2" s="1" t="s">
        <v>9</v>
      </c>
      <c r="C2" s="1" t="s">
        <v>10</v>
      </c>
      <c r="D2" s="1">
        <v>65000</v>
      </c>
      <c r="E2" s="1" t="s">
        <v>11</v>
      </c>
      <c r="G2" s="1">
        <v>201</v>
      </c>
      <c r="H2" s="1" t="s">
        <v>12</v>
      </c>
      <c r="I2" s="1" t="s">
        <v>13</v>
      </c>
      <c r="J2" s="1">
        <v>1200</v>
      </c>
    </row>
    <row r="3" ht="15" customHeight="1" spans="1:16">
      <c r="A3" s="1">
        <v>102</v>
      </c>
      <c r="B3" s="1" t="s">
        <v>14</v>
      </c>
      <c r="C3" s="1" t="s">
        <v>15</v>
      </c>
      <c r="D3" s="1">
        <v>55000</v>
      </c>
      <c r="E3" s="1" t="s">
        <v>16</v>
      </c>
      <c r="G3" s="1">
        <v>202</v>
      </c>
      <c r="H3" s="1" t="s">
        <v>17</v>
      </c>
      <c r="I3" s="1" t="s">
        <v>13</v>
      </c>
      <c r="J3" s="1">
        <v>25</v>
      </c>
    </row>
    <row r="4" ht="15" customHeight="1" spans="1:16">
      <c r="A4" s="1">
        <v>103</v>
      </c>
      <c r="B4" s="1" t="s">
        <v>18</v>
      </c>
      <c r="C4" s="1" t="s">
        <v>19</v>
      </c>
      <c r="D4" s="1">
        <v>75000</v>
      </c>
      <c r="E4" s="1" t="s">
        <v>20</v>
      </c>
      <c r="G4" s="1">
        <v>203</v>
      </c>
      <c r="H4" s="1" t="s">
        <v>21</v>
      </c>
      <c r="I4" s="1" t="s">
        <v>22</v>
      </c>
      <c r="J4" s="1">
        <v>350</v>
      </c>
    </row>
    <row r="5" ht="15" customHeight="1" spans="1:16">
      <c r="A5" s="1">
        <v>104</v>
      </c>
      <c r="B5" s="1" t="s">
        <v>23</v>
      </c>
      <c r="C5" s="1" t="s">
        <v>10</v>
      </c>
      <c r="D5" s="1">
        <v>60000</v>
      </c>
      <c r="E5" s="1" t="s">
        <v>24</v>
      </c>
      <c r="G5" s="1">
        <v>204</v>
      </c>
      <c r="H5" s="1" t="s">
        <v>25</v>
      </c>
      <c r="I5" s="1" t="s">
        <v>13</v>
      </c>
      <c r="J5" s="1">
        <v>400</v>
      </c>
    </row>
    <row r="6" ht="15" customHeight="1" spans="1:16">
      <c r="A6" s="1">
        <v>105</v>
      </c>
      <c r="B6" s="1" t="s">
        <v>26</v>
      </c>
      <c r="C6" s="1" t="s">
        <v>27</v>
      </c>
      <c r="D6" s="1">
        <v>58000</v>
      </c>
      <c r="E6" s="1" t="s">
        <v>28</v>
      </c>
    </row>
    <row r="13" ht="15" customHeight="1" spans="1:16">
      <c r="A13" s="4" t="s">
        <v>29</v>
      </c>
      <c r="B13" s="4" t="s">
        <v>0</v>
      </c>
      <c r="C13" s="4" t="s">
        <v>5</v>
      </c>
      <c r="D13" s="4" t="s">
        <v>30</v>
      </c>
      <c r="G13" s="5" t="s">
        <v>31</v>
      </c>
      <c r="H13" s="5" t="s">
        <v>32</v>
      </c>
      <c r="I13" s="5" t="s">
        <v>33</v>
      </c>
      <c r="J13" s="5" t="s">
        <v>34</v>
      </c>
      <c r="K13" s="6" t="s">
        <v>35</v>
      </c>
      <c r="L13" s="6" t="s">
        <v>36</v>
      </c>
      <c r="M13" s="6" t="s">
        <v>37</v>
      </c>
      <c r="N13" s="6" t="s">
        <v>38</v>
      </c>
      <c r="O13" s="6" t="s">
        <v>39</v>
      </c>
      <c r="P13" s="6" t="s">
        <v>40</v>
      </c>
    </row>
    <row r="14" ht="15" customHeight="1" spans="1:16">
      <c r="A14" s="1">
        <v>1001</v>
      </c>
      <c r="B14" s="1">
        <v>101</v>
      </c>
      <c r="C14" s="1">
        <v>201</v>
      </c>
      <c r="D14" s="1">
        <v>2</v>
      </c>
      <c r="G14" s="7" t="str">
        <f>VLOOKUP(A4,A2:E6,2,FALSE)</f>
        <v>Carol White</v>
      </c>
      <c r="H14" s="7" t="str">
        <f>VLOOKUP(A3,A2:E6,3,FALSE)</f>
        <v>Marketing</v>
      </c>
      <c r="I14" s="7">
        <f>VLOOKUP(A6,A2:E6,4,FALSE)</f>
        <v>58000</v>
      </c>
      <c r="J14" s="7" cm="1">
        <f t="array" ref="J14">INDEX(J2:J5,MATCH("MONITOR",H2:H5,0))</f>
        <v>400</v>
      </c>
      <c r="K14" s="8" t="str" cm="1">
        <f t="array" ref="K14">INDEX(I2:I5,MATCH("LAPTOP",H2:H5,0))</f>
        <v>Electronics</v>
      </c>
      <c r="L14" s="8">
        <f>MATCH("MOUSE",H2:H5,0)</f>
        <v>2</v>
      </c>
      <c r="M14" s="8">
        <f>VLOOKUP(A3,A2:E6,4,FALSE)</f>
        <v>55000</v>
      </c>
      <c r="N14" s="8" cm="1">
        <f t="array" ref="N14">IFERROR(INDEX(D2:D6,MATCH(A2,A2:A6,0)),"NOT FOUND")</f>
        <v>65000</v>
      </c>
      <c r="O14" s="8" t="str">
        <f>VLOOKUP(A5,A2:E6,2,FALSE)</f>
        <v>David Brown</v>
      </c>
      <c r="P14" s="8" t="str" cm="1">
        <f t="array" ref="P14">INDEX(H2:H5,MATCH(G3,G2:G5,0))</f>
        <v>Mouse</v>
      </c>
    </row>
    <row r="15" ht="15" customHeight="1" spans="1:16">
      <c r="A15" s="1">
        <v>1002</v>
      </c>
      <c r="B15" s="1">
        <v>102</v>
      </c>
      <c r="C15" s="1">
        <v>203</v>
      </c>
      <c r="D15" s="1">
        <v>1</v>
      </c>
    </row>
    <row r="16" ht="15" customHeight="1" spans="1:16">
      <c r="A16" s="1">
        <v>1003</v>
      </c>
      <c r="B16" s="1">
        <v>103</v>
      </c>
      <c r="C16" s="1">
        <v>202</v>
      </c>
      <c r="D16" s="1">
        <v>5</v>
      </c>
    </row>
    <row r="17" ht="15" customHeight="1" spans="1:4">
      <c r="A17" s="1">
        <v>1004</v>
      </c>
      <c r="B17" s="1">
        <v>101</v>
      </c>
      <c r="C17" s="1">
        <v>204</v>
      </c>
      <c r="D17" s="1">
        <v>1</v>
      </c>
    </row>
    <row r="18" ht="15" customHeight="1" spans="1:4">
      <c r="A18" s="1">
        <v>1005</v>
      </c>
      <c r="B18" s="1">
        <v>104</v>
      </c>
      <c r="C18" s="1">
        <v>201</v>
      </c>
      <c r="D18" s="1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Shravani Pawar</cp:lastModifiedBy>
  <cp:revision>0</cp:revision>
  <dcterms:created xsi:type="dcterms:W3CDTF">2026-09-26T09:03:00Z</dcterms:created>
  <dcterms:modified xsi:type="dcterms:W3CDTF">2026-10-28T08:00:14Z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172FD68A149D43C692D82AC5EE85D52F_13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